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Matriz de Priorizaçã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<sst xmlns="http://schemas.openxmlformats.org/spreadsheetml/2006/main" count="117" uniqueCount="98">
  <si>
    <t xml:space="preserve">CS2 AI Enemy Coach — Roadmap por Milestones</t>
  </si>
  <si>
    <t xml:space="preserve">Roadmap orientado a milestones — fases sem datas fixas, definidas por critérios de saída objetivos</t>
  </si>
  <si>
    <t xml:space="preserve">Fase</t>
  </si>
  <si>
    <t xml:space="preserve">Milestone</t>
  </si>
  <si>
    <t xml:space="preserve">Objetivo</t>
  </si>
  <si>
    <t xml:space="preserve">Funcionalidades-Chave</t>
  </si>
  <si>
    <t xml:space="preserve">Critério de Saída</t>
  </si>
  <si>
    <t xml:space="preserve">Risco Principal</t>
  </si>
  <si>
    <t xml:space="preserve">Status</t>
  </si>
  <si>
    <t xml:space="preserve">Fase 0
Fundação Técnica</t>
  </si>
  <si>
    <t xml:space="preserve">Servidor funcional com loop end-to-end validado</t>
  </si>
  <si>
    <t xml:space="preserve">Provar que o pipeline completo (CS2 → GSI/CSS Plugin → Claude → bot-command) funciona sem erros em partida offline local</t>
  </si>
  <si>
    <t xml:space="preserve">• Servidor Node.js + Express (porta 3000)
• Plugin C# CounterStrikeSharp v1.1.0
• Integração Claude Haiku 4.5 (streaming)
• Throttle por (round, phase)
• Docker Compose: cs2 + coach
• Parsers GSI + CSS (gsi-parser.js, css-parser.js)
• Injeção de comandos via HTTP (bot-commander.js)</t>
  </si>
  <si>
    <t xml:space="preserve">Um round completo gera chamada Claude → bots executam ação (rush_a / rush_b / save) sem erro no log</t>
  </si>
  <si>
    <t xml:space="preserve">bot_goto_mark pode não funcionar conforme documentado — fallback de coordenadas necessário</t>
  </si>
  <si>
    <t xml:space="preserve">✅ Concluída</t>
  </si>
  <si>
    <t xml:space="preserve">Fase 1
MVP Jogável</t>
  </si>
  <si>
    <t xml:space="preserve">Primeira sessão de jogo com valor perceptível para usuário externo</t>
  </si>
  <si>
    <t xml:space="preserve">Um usuário externo consegue instalar, rodar e sentir que os bots estão se comportando taticamente — sem precisar entender o código-fonte</t>
  </si>
  <si>
    <t xml:space="preserve">• Round history (últimos N rounds no prompt)
• Validação e fallback de ações inválidas
• Prompt refinado com contexto de economia
• Logging estruturado (round, ação, latência Claude)
• README com setup passo-a-passo
• Suporte a mapas principais (Dust2, Mirage, Inferno)
• Testes de integração básicos</t>
  </si>
  <si>
    <t xml:space="preserve">3 usuários beta externos completam 10+ rounds sem erros críticos e reportam bots "mais inteligentes que o padrão"</t>
  </si>
  <si>
    <t xml:space="preserve">Qualidade tática percebida pode decepcionar se latência da API for alta (&gt;1s/round)</t>
  </si>
  <si>
    <t xml:space="preserve">🔄 Em progresso</t>
  </si>
  <si>
    <t xml:space="preserve">Fase 2
Produto Distribuível</t>
  </si>
  <si>
    <t xml:space="preserve">Instalação com 1 comando — sem terminal avançado ou Docker manual</t>
  </si>
  <si>
    <t xml:space="preserve">Reduzir o atrito de onboarding a ponto de um jogador sem experiência técnica conseguir instalar e jogar em &lt;15 minutos</t>
  </si>
  <si>
    <t xml:space="preserve">• Installer/script de setup automatizado (Windows + Linux)
• UI de configuração simples (web ou .env wizard)
• Auto-detecção do diretório CS2
• Perfis de IGL pré-configurados (agressivo, econômico, adaptativo)
• Atualização automática do plugin
• Documentação completa com FAQ
• Sistema de relatório de bugs in-app</t>
  </si>
  <si>
    <t xml:space="preserve">Taxa de instalação bem-sucedida &gt;80% em teste com 10 usuários não-técnicos; NPS &gt;40</t>
  </si>
  <si>
    <t xml:space="preserve">Variações de configuração do Windows (UAC, antivírus, paths CS2) podem exigir muitos edge-cases</t>
  </si>
  <si>
    <t xml:space="preserve">⏳ Pendente</t>
  </si>
  <si>
    <t xml:space="preserve">Fase 3
Monetização</t>
  </si>
  <si>
    <t xml:space="preserve">Primeiro modelo de receita recorrente ativo com 100+ pagantes</t>
  </si>
  <si>
    <t xml:space="preserve">Validar willingness-to-pay e gerar receita suficiente para cobrir custos de API + infraestrutura</t>
  </si>
  <si>
    <t xml:space="preserve">• Sistema de autenticação (licença / API key própria)
• Plano Freemium: limite de calls táticas/dia
• Plano Pro ($5–8/mês): ilimitado + perfis extras
• Painel de uso (calls consumidas, rounds analisados)
• Gateway de pagamento (Stripe ou Paddle)
• Sistema de referral para crescimento orgânico
• Analytics de retenção</t>
  </si>
  <si>
    <t xml:space="preserve">MRR &gt; $500 com churn mensal &lt;10% por 3 meses consecutivos</t>
  </si>
  <si>
    <t xml:space="preserve">Resistência de comunidade gaming a pagar por ferramenta que "antes era grátis" — comunicar valor com antecedência</t>
  </si>
  <si>
    <t xml:space="preserve">Fase 4
Escala</t>
  </si>
  <si>
    <t xml:space="preserve">Plataforma multi-usuário com comunidade de perfis e distribuição cloud</t>
  </si>
  <si>
    <t xml:space="preserve">Transformar o produto de ferramenta indie em plataforma com efeito de rede e múltiplas fontes de receita</t>
  </si>
  <si>
    <t xml:space="preserve">• Marketplace de perfis de IGL (compra/venda de estilos táticos)
• Opção cloud: servidor hospedado sem necessidade de máquina local
• API pública para servidores comunitários (B2B)
• Suporte multi-jogo (potencial: Valorant, Faceit)
• Leaderboard de IGLs por win rate
• Integração com plataformas de vods/highlights
• SDK de terceiros para plugins comunitários</t>
  </si>
  <si>
    <t xml:space="preserve">1.000+ usuários ativos mensais; marketplace com &gt;50 perfis publicados; 5+ servidores comunitários pagantes</t>
  </si>
  <si>
    <t xml:space="preserve">Dependência dupla (Valve + Anthropic) amplificada na escala — necessidade de estratégia de resiliência multi-LLM e multi-game</t>
  </si>
  <si>
    <t xml:space="preserve">Matriz de Priorização de Features — Impacto × Esforço</t>
  </si>
  <si>
    <t xml:space="preserve">Escala: 1 (baixo) → 5 (alto) — Prioridade = Impacto / Esforço — Ordenado por prioridade decrescente</t>
  </si>
  <si>
    <t xml:space="preserve">Feature</t>
  </si>
  <si>
    <t xml:space="preserve">Descrição</t>
  </si>
  <si>
    <t xml:space="preserve">Impacto
(1–5)</t>
  </si>
  <si>
    <t xml:space="preserve">Esforço
(1–5)</t>
  </si>
  <si>
    <t xml:space="preserve">Prioridade
(Impacto/Esforço)</t>
  </si>
  <si>
    <t xml:space="preserve">Validação e fallback de ações</t>
  </si>
  <si>
    <t xml:space="preserve">Lidar com respostas inválidas da API sem crashar o servidor</t>
  </si>
  <si>
    <t xml:space="preserve">Fase 1</t>
  </si>
  <si>
    <t xml:space="preserve">README com setup passo-a-passo</t>
  </si>
  <si>
    <t xml:space="preserve">Documentação clara reduz abandono no onboarding — essencial para adoção</t>
  </si>
  <si>
    <t xml:space="preserve">Logging estruturado por round</t>
  </si>
  <si>
    <t xml:space="preserve">Facilita debug, análise de qualidade tática e demonstração do produto</t>
  </si>
  <si>
    <t xml:space="preserve">Round history no prompt</t>
  </si>
  <si>
    <t xml:space="preserve">Contexto dos últimos N rounds melhora coerência tática (ex: não executar B 3x seguidas)</t>
  </si>
  <si>
    <t xml:space="preserve">Suporte a mapas principais
(Dust2, Mirage, Inferno)</t>
  </si>
  <si>
    <t xml:space="preserve">Garantir que bot_goto_mark funcione nos bombsites dos mapas mais populares</t>
  </si>
  <si>
    <t xml:space="preserve">Perfis de IGL pré-configurados</t>
  </si>
  <si>
    <t xml:space="preserve">Estilos táticos prontos (agressivo, econômico, adaptativo) sem precisar configurar</t>
  </si>
  <si>
    <t xml:space="preserve">Fase 2</t>
  </si>
  <si>
    <t xml:space="preserve">Gestão de economia no prompt</t>
  </si>
  <si>
    <t xml:space="preserve">Incluir stack de dinheiro no contexto para decisões de save/force/full-buy corretas</t>
  </si>
  <si>
    <t xml:space="preserve">Abstração do LLM backend</t>
  </si>
  <si>
    <t xml:space="preserve">Trocar Claude por Gemini, GPT-4o mini ou modelo local (Ollama) via config</t>
  </si>
  <si>
    <t xml:space="preserve">Auto-detecção do diretório CS2</t>
  </si>
  <si>
    <t xml:space="preserve">Reduz etapas de configuração manual — crítico para onboarding não-técnico</t>
  </si>
  <si>
    <t xml:space="preserve">Sistema de referral</t>
  </si>
  <si>
    <t xml:space="preserve">Crescimento orgânico via indicação entre jogadores — baixo custo de aquisição</t>
  </si>
  <si>
    <t xml:space="preserve">Fase 3</t>
  </si>
  <si>
    <t xml:space="preserve">Atualização automática do plugin</t>
  </si>
  <si>
    <t xml:space="preserve">Reduz suporte técnico pós-updates do CS2/CounterStrikeSharp</t>
  </si>
  <si>
    <t xml:space="preserve">Testes de integração automatizados</t>
  </si>
  <si>
    <t xml:space="preserve">Reduz regressões — crítico antes de monetização e escala</t>
  </si>
  <si>
    <t xml:space="preserve">Installer automatizado (Win + Linux)</t>
  </si>
  <si>
    <t xml:space="preserve">Setup com 1 comando reduz atrito; expande audiência para usuários não-técnicos</t>
  </si>
  <si>
    <t xml:space="preserve">Plano Freemium + Assinatura</t>
  </si>
  <si>
    <t xml:space="preserve">Modelo de monetização: free (50 calls/dia) + Pro ($5–8/mês)</t>
  </si>
  <si>
    <t xml:space="preserve">Painel de uso e analytics</t>
  </si>
  <si>
    <t xml:space="preserve">Visualização de calls consumidas, rounds analisados, latência — valor percebido</t>
  </si>
  <si>
    <t xml:space="preserve">API pública para servidores
comunitários (B2B)</t>
  </si>
  <si>
    <t xml:space="preserve">Receita recorrente de operadores de servidores pagando por integração</t>
  </si>
  <si>
    <t xml:space="preserve">Fase 4</t>
  </si>
  <si>
    <t xml:space="preserve">Marketplace de perfis de IGL</t>
  </si>
  <si>
    <t xml:space="preserve">Usuários compram/vendem estilos táticos customizados — efeito de rede</t>
  </si>
  <si>
    <t xml:space="preserve">Suporte a múltiplos jogos
(Valorant, etc.)</t>
  </si>
  <si>
    <t xml:space="preserve">Expandir o TAM para além do CS2 — alto impacto de longo prazo</t>
  </si>
  <si>
    <t xml:space="preserve">Leaderboard de IGLs</t>
  </si>
  <si>
    <t xml:space="preserve">Gamificação: ranking de perfis de IGL por win rate — retenção e engajamento</t>
  </si>
  <si>
    <t xml:space="preserve">Integração com vods/highlights</t>
  </si>
  <si>
    <t xml:space="preserve">Gerar clips automáticos de jogadas táticas dos bots — marketing orgânico</t>
  </si>
  <si>
    <t xml:space="preserve">Legenda de Prioridade (Impacto ÷ Esforço)</t>
  </si>
  <si>
    <t xml:space="preserve">  ≥ 3.0 — Quick Win: alto impacto, baixo esforço → prioridade máxima</t>
  </si>
  <si>
    <t xml:space="preserve">  ≥ 2.0 — Alta Prioridade: bom retorno, esforço gerenciável</t>
  </si>
  <si>
    <t xml:space="preserve">  ≥ 1.0 — Prioridade Média: vale o esforço no momento certo</t>
  </si>
  <si>
    <t xml:space="preserve">  &lt; 1.0 — Baixa Prioridade: esforço supera impacto no curto prazo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</si>
</sst>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833C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9"/>
      <color rgb="FF833C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E8F4FD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4E6F1"/>
      </patternFill>
    </fill>
    <fill>
      <patternFill patternType="solid">
        <fgColor rgb="FF1A5276"/>
        <bgColor rgb="FF1F4E79"/>
      </patternFill>
    </fill>
    <fill>
      <patternFill patternType="solid">
        <fgColor rgb="FFD4E6F1"/>
        <bgColor rgb="FFD6E4F0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E8F4FD"/>
      </patternFill>
    </fill>
    <fill>
      <patternFill patternType="solid">
        <fgColor rgb="FFBF8F00"/>
        <bgColor rgb="FF808000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E8F4FD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8F4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E6F1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1A5276"/>
      <rgbColor rgb="FF339966"/>
      <rgbColor rgb="FF003300"/>
      <rgbColor rgb="FF375623"/>
      <rgbColor rgb="FF833C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48"/>
    <col collapsed="false" customWidth="true" hidden="false" outlineLevel="0" max="5" min="5" style="0" width="38"/>
    <col collapsed="false" customWidth="true" hidden="false" outlineLevel="0" max="6" min="6" style="0" width="36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20" hidden="false" customHeight="true" outlineLevel="0" collapsed="false">
      <c r="A5" s="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6" t="s">
        <v>15</v>
      </c>
    </row>
    <row r="6" customFormat="false" ht="120" hidden="false" customHeight="true" outlineLevel="0" collapsed="false">
      <c r="A6" s="7" t="s">
        <v>16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9" t="s">
        <v>22</v>
      </c>
    </row>
    <row r="7" customFormat="false" ht="120" hidden="false" customHeight="true" outlineLevel="0" collapsed="false">
      <c r="A7" s="3" t="s">
        <v>23</v>
      </c>
      <c r="B7" s="10" t="s">
        <v>24</v>
      </c>
      <c r="C7" s="10" t="s">
        <v>25</v>
      </c>
      <c r="D7" s="10" t="s">
        <v>26</v>
      </c>
      <c r="E7" s="10" t="s">
        <v>27</v>
      </c>
      <c r="F7" s="10" t="s">
        <v>28</v>
      </c>
      <c r="G7" s="11" t="s">
        <v>29</v>
      </c>
    </row>
    <row r="8" customFormat="false" ht="120" hidden="false" customHeight="true" outlineLevel="0" collapsed="false">
      <c r="A8" s="12" t="s">
        <v>30</v>
      </c>
      <c r="B8" s="13" t="s">
        <v>31</v>
      </c>
      <c r="C8" s="13" t="s">
        <v>32</v>
      </c>
      <c r="D8" s="13" t="s">
        <v>33</v>
      </c>
      <c r="E8" s="13" t="s">
        <v>34</v>
      </c>
      <c r="F8" s="13" t="s">
        <v>35</v>
      </c>
      <c r="G8" s="14" t="s">
        <v>29</v>
      </c>
    </row>
    <row r="9" customFormat="false" ht="120" hidden="false" customHeight="true" outlineLevel="0" collapsed="false">
      <c r="A9" s="15" t="s">
        <v>36</v>
      </c>
      <c r="B9" s="16" t="s">
        <v>37</v>
      </c>
      <c r="C9" s="16" t="s">
        <v>38</v>
      </c>
      <c r="D9" s="16" t="s">
        <v>39</v>
      </c>
      <c r="E9" s="16" t="s">
        <v>40</v>
      </c>
      <c r="F9" s="16" t="s">
        <v>41</v>
      </c>
      <c r="G9" s="17" t="s">
        <v>29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8" t="s">
        <v>42</v>
      </c>
      <c r="B1" s="18"/>
      <c r="C1" s="18"/>
      <c r="D1" s="18"/>
      <c r="E1" s="18"/>
      <c r="F1" s="18"/>
    </row>
    <row r="2" customFormat="false" ht="15.75" hidden="false" customHeight="true" outlineLevel="0" collapsed="false">
      <c r="A2" s="19" t="s">
        <v>43</v>
      </c>
      <c r="B2" s="19"/>
      <c r="C2" s="19"/>
      <c r="D2" s="19"/>
      <c r="E2" s="19"/>
      <c r="F2" s="19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44</v>
      </c>
      <c r="B4" s="3" t="s">
        <v>45</v>
      </c>
      <c r="C4" s="3" t="s">
        <v>2</v>
      </c>
      <c r="D4" s="3" t="s">
        <v>46</v>
      </c>
      <c r="E4" s="3" t="s">
        <v>47</v>
      </c>
      <c r="F4" s="3" t="s">
        <v>48</v>
      </c>
    </row>
    <row r="5" customFormat="false" ht="36" hidden="false" customHeight="true" outlineLevel="0" collapsed="false">
      <c r="A5" s="20" t="s">
        <v>49</v>
      </c>
      <c r="B5" s="21" t="s">
        <v>50</v>
      </c>
      <c r="C5" s="22" t="s">
        <v>51</v>
      </c>
      <c r="D5" s="23" t="n">
        <v>5</v>
      </c>
      <c r="E5" s="23" t="n">
        <v>1</v>
      </c>
      <c r="F5" s="24" t="n">
        <f aca="false">D5/E5</f>
        <v>5</v>
      </c>
    </row>
    <row r="6" customFormat="false" ht="36" hidden="false" customHeight="true" outlineLevel="0" collapsed="false">
      <c r="A6" s="20" t="s">
        <v>52</v>
      </c>
      <c r="B6" s="21" t="s">
        <v>53</v>
      </c>
      <c r="C6" s="22" t="s">
        <v>51</v>
      </c>
      <c r="D6" s="23" t="n">
        <v>5</v>
      </c>
      <c r="E6" s="23" t="n">
        <v>1</v>
      </c>
      <c r="F6" s="24" t="n">
        <f aca="false">D6/E6</f>
        <v>5</v>
      </c>
    </row>
    <row r="7" customFormat="false" ht="36" hidden="false" customHeight="true" outlineLevel="0" collapsed="false">
      <c r="A7" s="20" t="s">
        <v>54</v>
      </c>
      <c r="B7" s="21" t="s">
        <v>55</v>
      </c>
      <c r="C7" s="22" t="s">
        <v>51</v>
      </c>
      <c r="D7" s="23" t="n">
        <v>4</v>
      </c>
      <c r="E7" s="23" t="n">
        <v>1</v>
      </c>
      <c r="F7" s="24" t="n">
        <f aca="false">D7/E7</f>
        <v>4</v>
      </c>
    </row>
    <row r="8" customFormat="false" ht="36" hidden="false" customHeight="true" outlineLevel="0" collapsed="false">
      <c r="A8" s="20" t="s">
        <v>56</v>
      </c>
      <c r="B8" s="21" t="s">
        <v>57</v>
      </c>
      <c r="C8" s="22" t="s">
        <v>51</v>
      </c>
      <c r="D8" s="23" t="n">
        <v>5</v>
      </c>
      <c r="E8" s="23" t="n">
        <v>2</v>
      </c>
      <c r="F8" s="25" t="n">
        <f aca="false">D8/E8</f>
        <v>2.5</v>
      </c>
    </row>
    <row r="9" customFormat="false" ht="36" hidden="false" customHeight="true" outlineLevel="0" collapsed="false">
      <c r="A9" s="20" t="s">
        <v>58</v>
      </c>
      <c r="B9" s="21" t="s">
        <v>59</v>
      </c>
      <c r="C9" s="22" t="s">
        <v>51</v>
      </c>
      <c r="D9" s="23" t="n">
        <v>5</v>
      </c>
      <c r="E9" s="23" t="n">
        <v>2</v>
      </c>
      <c r="F9" s="25" t="n">
        <f aca="false">D9/E9</f>
        <v>2.5</v>
      </c>
    </row>
    <row r="10" customFormat="false" ht="36" hidden="false" customHeight="true" outlineLevel="0" collapsed="false">
      <c r="A10" s="20" t="s">
        <v>60</v>
      </c>
      <c r="B10" s="21" t="s">
        <v>61</v>
      </c>
      <c r="C10" s="22" t="s">
        <v>62</v>
      </c>
      <c r="D10" s="23" t="n">
        <v>5</v>
      </c>
      <c r="E10" s="23" t="n">
        <v>2</v>
      </c>
      <c r="F10" s="25" t="n">
        <f aca="false">D10/E10</f>
        <v>2.5</v>
      </c>
    </row>
    <row r="11" customFormat="false" ht="36" hidden="false" customHeight="true" outlineLevel="0" collapsed="false">
      <c r="A11" s="20" t="s">
        <v>63</v>
      </c>
      <c r="B11" s="21" t="s">
        <v>64</v>
      </c>
      <c r="C11" s="22" t="s">
        <v>51</v>
      </c>
      <c r="D11" s="23" t="n">
        <v>5</v>
      </c>
      <c r="E11" s="23" t="n">
        <v>2</v>
      </c>
      <c r="F11" s="25" t="n">
        <f aca="false">D11/E11</f>
        <v>2.5</v>
      </c>
    </row>
    <row r="12" customFormat="false" ht="36" hidden="false" customHeight="true" outlineLevel="0" collapsed="false">
      <c r="A12" s="20" t="s">
        <v>65</v>
      </c>
      <c r="B12" s="21" t="s">
        <v>66</v>
      </c>
      <c r="C12" s="22" t="s">
        <v>51</v>
      </c>
      <c r="D12" s="23" t="n">
        <v>4</v>
      </c>
      <c r="E12" s="23" t="n">
        <v>2</v>
      </c>
      <c r="F12" s="25" t="n">
        <f aca="false">D12/E12</f>
        <v>2</v>
      </c>
    </row>
    <row r="13" customFormat="false" ht="36" hidden="false" customHeight="true" outlineLevel="0" collapsed="false">
      <c r="A13" s="20" t="s">
        <v>67</v>
      </c>
      <c r="B13" s="21" t="s">
        <v>68</v>
      </c>
      <c r="C13" s="22" t="s">
        <v>62</v>
      </c>
      <c r="D13" s="23" t="n">
        <v>4</v>
      </c>
      <c r="E13" s="23" t="n">
        <v>2</v>
      </c>
      <c r="F13" s="25" t="n">
        <f aca="false">D13/E13</f>
        <v>2</v>
      </c>
    </row>
    <row r="14" customFormat="false" ht="36" hidden="false" customHeight="true" outlineLevel="0" collapsed="false">
      <c r="A14" s="20" t="s">
        <v>69</v>
      </c>
      <c r="B14" s="21" t="s">
        <v>70</v>
      </c>
      <c r="C14" s="22" t="s">
        <v>71</v>
      </c>
      <c r="D14" s="23" t="n">
        <v>4</v>
      </c>
      <c r="E14" s="23" t="n">
        <v>2</v>
      </c>
      <c r="F14" s="25" t="n">
        <f aca="false">D14/E14</f>
        <v>2</v>
      </c>
    </row>
    <row r="15" customFormat="false" ht="36" hidden="false" customHeight="true" outlineLevel="0" collapsed="false">
      <c r="A15" s="20" t="s">
        <v>72</v>
      </c>
      <c r="B15" s="21" t="s">
        <v>73</v>
      </c>
      <c r="C15" s="22" t="s">
        <v>62</v>
      </c>
      <c r="D15" s="23" t="n">
        <v>4</v>
      </c>
      <c r="E15" s="23" t="n">
        <v>2</v>
      </c>
      <c r="F15" s="25" t="n">
        <f aca="false">D15/E15</f>
        <v>2</v>
      </c>
    </row>
    <row r="16" customFormat="false" ht="36" hidden="false" customHeight="true" outlineLevel="0" collapsed="false">
      <c r="A16" s="20" t="s">
        <v>74</v>
      </c>
      <c r="B16" s="21" t="s">
        <v>75</v>
      </c>
      <c r="C16" s="22" t="s">
        <v>51</v>
      </c>
      <c r="D16" s="23" t="n">
        <v>4</v>
      </c>
      <c r="E16" s="23" t="n">
        <v>2</v>
      </c>
      <c r="F16" s="25" t="n">
        <f aca="false">D16/E16</f>
        <v>2</v>
      </c>
    </row>
    <row r="17" customFormat="false" ht="36" hidden="false" customHeight="true" outlineLevel="0" collapsed="false">
      <c r="A17" s="20" t="s">
        <v>76</v>
      </c>
      <c r="B17" s="21" t="s">
        <v>77</v>
      </c>
      <c r="C17" s="22" t="s">
        <v>62</v>
      </c>
      <c r="D17" s="23" t="n">
        <v>5</v>
      </c>
      <c r="E17" s="23" t="n">
        <v>3</v>
      </c>
      <c r="F17" s="26" t="n">
        <f aca="false">D17/E17</f>
        <v>1.66666666666667</v>
      </c>
    </row>
    <row r="18" customFormat="false" ht="36" hidden="false" customHeight="true" outlineLevel="0" collapsed="false">
      <c r="A18" s="20" t="s">
        <v>78</v>
      </c>
      <c r="B18" s="21" t="s">
        <v>79</v>
      </c>
      <c r="C18" s="22" t="s">
        <v>71</v>
      </c>
      <c r="D18" s="23" t="n">
        <v>5</v>
      </c>
      <c r="E18" s="23" t="n">
        <v>3</v>
      </c>
      <c r="F18" s="26" t="n">
        <f aca="false">D18/E18</f>
        <v>1.66666666666667</v>
      </c>
    </row>
    <row r="19" customFormat="false" ht="36" hidden="false" customHeight="true" outlineLevel="0" collapsed="false">
      <c r="A19" s="20" t="s">
        <v>80</v>
      </c>
      <c r="B19" s="21" t="s">
        <v>81</v>
      </c>
      <c r="C19" s="22" t="s">
        <v>71</v>
      </c>
      <c r="D19" s="23" t="n">
        <v>3</v>
      </c>
      <c r="E19" s="23" t="n">
        <v>2</v>
      </c>
      <c r="F19" s="26" t="n">
        <f aca="false">D19/E19</f>
        <v>1.5</v>
      </c>
    </row>
    <row r="20" customFormat="false" ht="36" hidden="false" customHeight="true" outlineLevel="0" collapsed="false">
      <c r="A20" s="20" t="s">
        <v>82</v>
      </c>
      <c r="B20" s="21" t="s">
        <v>83</v>
      </c>
      <c r="C20" s="22" t="s">
        <v>84</v>
      </c>
      <c r="D20" s="23" t="n">
        <v>5</v>
      </c>
      <c r="E20" s="23" t="n">
        <v>4</v>
      </c>
      <c r="F20" s="26" t="n">
        <f aca="false">D20/E20</f>
        <v>1.25</v>
      </c>
    </row>
    <row r="21" customFormat="false" ht="36" hidden="false" customHeight="true" outlineLevel="0" collapsed="false">
      <c r="A21" s="20" t="s">
        <v>85</v>
      </c>
      <c r="B21" s="21" t="s">
        <v>86</v>
      </c>
      <c r="C21" s="22" t="s">
        <v>84</v>
      </c>
      <c r="D21" s="23" t="n">
        <v>5</v>
      </c>
      <c r="E21" s="23" t="n">
        <v>5</v>
      </c>
      <c r="F21" s="26" t="n">
        <f aca="false">D21/E21</f>
        <v>1</v>
      </c>
    </row>
    <row r="22" customFormat="false" ht="36" hidden="false" customHeight="true" outlineLevel="0" collapsed="false">
      <c r="A22" s="20" t="s">
        <v>87</v>
      </c>
      <c r="B22" s="21" t="s">
        <v>88</v>
      </c>
      <c r="C22" s="22" t="s">
        <v>84</v>
      </c>
      <c r="D22" s="23" t="n">
        <v>5</v>
      </c>
      <c r="E22" s="23" t="n">
        <v>5</v>
      </c>
      <c r="F22" s="26" t="n">
        <f aca="false">D22/E22</f>
        <v>1</v>
      </c>
    </row>
    <row r="23" customFormat="false" ht="36" hidden="false" customHeight="true" outlineLevel="0" collapsed="false">
      <c r="A23" s="20" t="s">
        <v>89</v>
      </c>
      <c r="B23" s="21" t="s">
        <v>90</v>
      </c>
      <c r="C23" s="22" t="s">
        <v>84</v>
      </c>
      <c r="D23" s="23" t="n">
        <v>3</v>
      </c>
      <c r="E23" s="23" t="n">
        <v>3</v>
      </c>
      <c r="F23" s="26" t="n">
        <f aca="false">D23/E23</f>
        <v>1</v>
      </c>
    </row>
    <row r="24" customFormat="false" ht="36" hidden="false" customHeight="true" outlineLevel="0" collapsed="false">
      <c r="A24" s="20" t="s">
        <v>91</v>
      </c>
      <c r="B24" s="21" t="s">
        <v>92</v>
      </c>
      <c r="C24" s="22" t="s">
        <v>84</v>
      </c>
      <c r="D24" s="23" t="n">
        <v>3</v>
      </c>
      <c r="E24" s="23" t="n">
        <v>4</v>
      </c>
      <c r="F24" s="27" t="n">
        <f aca="false">D24/E24</f>
        <v>0.75</v>
      </c>
    </row>
    <row r="25" customFormat="false" ht="12" hidden="false" customHeight="true" outlineLevel="0" collapsed="false"/>
    <row r="26" customFormat="false" ht="19.5" hidden="false" customHeight="true" outlineLevel="0" collapsed="false">
      <c r="A26" s="28" t="s">
        <v>93</v>
      </c>
      <c r="B26" s="28"/>
      <c r="C26" s="28"/>
      <c r="D26" s="28"/>
      <c r="E26" s="28"/>
      <c r="F26" s="28"/>
    </row>
    <row r="27" customFormat="false" ht="18" hidden="false" customHeight="true" outlineLevel="0" collapsed="false">
      <c r="A27" s="29" t="s">
        <v>94</v>
      </c>
      <c r="B27" s="29"/>
      <c r="C27" s="29"/>
      <c r="D27" s="29"/>
      <c r="E27" s="29"/>
      <c r="F27" s="29"/>
    </row>
    <row r="28" customFormat="false" ht="18" hidden="false" customHeight="true" outlineLevel="0" collapsed="false">
      <c r="A28" s="30" t="s">
        <v>95</v>
      </c>
      <c r="B28" s="30"/>
      <c r="C28" s="30"/>
      <c r="D28" s="30"/>
      <c r="E28" s="30"/>
      <c r="F28" s="30"/>
    </row>
    <row r="29" customFormat="false" ht="18" hidden="false" customHeight="true" outlineLevel="0" collapsed="false">
      <c r="A29" s="31" t="s">
        <v>96</v>
      </c>
      <c r="B29" s="31"/>
      <c r="C29" s="31"/>
      <c r="D29" s="31"/>
      <c r="E29" s="31"/>
      <c r="F29" s="31"/>
    </row>
    <row r="30" customFormat="false" ht="18" hidden="false" customHeight="true" outlineLevel="0" collapsed="false">
      <c r="A30" s="32" t="s">
        <v>97</v>
      </c>
      <c r="B30" s="32"/>
      <c r="C30" s="32"/>
      <c r="D30" s="32"/>
      <c r="E30" s="32"/>
      <c r="F30" s="32"/>
    </row>
  </sheetData>
  <mergeCells count="7">
    <mergeCell ref="A1:F1"/>
    <mergeCell ref="A2:F2"/>
    <mergeCell ref="A26:F26"/>
    <mergeCell ref="A27:F27"/>
    <mergeCell ref="A28:F28"/>
    <mergeCell ref="A29:F29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2026-04-17T20:36:12Z</dcterms:created>
  <dc:creator>openpyxl</dc:creator>
  <dc:description/>
  <dc:language>en-US</dc:language>
  <cp:lastModifiedBy/>
  <dcterms:modified xsi:type="dcterms:W3CDTF">2026-04-17T20:36:12Z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